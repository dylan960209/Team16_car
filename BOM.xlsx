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dator Helios Neo\Downloads\"/>
    </mc:Choice>
  </mc:AlternateContent>
  <xr:revisionPtr revIDLastSave="0" documentId="13_ncr:1_{A8EA6830-3600-45CE-B0A6-FBF413E99F9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BOM" sheetId="1" r:id="rId1"/>
  </sheets>
  <calcPr calcId="181029"/>
</workbook>
</file>

<file path=xl/calcChain.xml><?xml version="1.0" encoding="utf-8"?>
<calcChain xmlns="http://schemas.openxmlformats.org/spreadsheetml/2006/main">
  <c r="F24" i="1" l="1" a="1"/>
  <c r="F24" i="1" s="1"/>
  <c r="G18" i="1" a="1"/>
  <c r="G18" i="1" s="1"/>
  <c r="G17" i="1" a="1"/>
  <c r="G17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1" i="1" a="1"/>
  <c r="G11" i="1" s="1"/>
  <c r="G10" i="1" a="1"/>
  <c r="G10" i="1" s="1"/>
  <c r="G9" i="1" a="1"/>
  <c r="G9" i="1" s="1"/>
  <c r="G8" i="1" a="1"/>
  <c r="G8" i="1" s="1"/>
  <c r="G7" i="1" a="1"/>
  <c r="G7" i="1" s="1"/>
  <c r="G6" i="1" a="1"/>
  <c r="G6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<sst xmlns="http://schemas.openxmlformats.org/spreadsheetml/2006/main" count="113" uniqueCount="81">
  <si>
    <r>
      <rPr>
        <b/>
        <sz val="16"/>
        <color indexed="9"/>
        <rFont val="Arial"/>
        <family val="2"/>
      </rPr>
      <t xml:space="preserve">E912100 </t>
    </r>
    <r>
      <rPr>
        <b/>
        <sz val="16"/>
        <color indexed="9"/>
        <rFont val="DejaVu Sans"/>
      </rPr>
      <t>工程科學暨創新概論　期末競賽　物料清單（</t>
    </r>
    <r>
      <rPr>
        <b/>
        <sz val="16"/>
        <color indexed="9"/>
        <rFont val="Arial"/>
        <family val="2"/>
      </rPr>
      <t>BOM</t>
    </r>
    <r>
      <rPr>
        <b/>
        <sz val="16"/>
        <color indexed="9"/>
        <rFont val="DejaVu Sans"/>
      </rPr>
      <t>）</t>
    </r>
  </si>
  <si>
    <t>Bill of Materials — Spring 2026</t>
  </si>
  <si>
    <t>隊伍編號</t>
  </si>
  <si>
    <r>
      <rPr>
        <b/>
        <sz val="9"/>
        <color indexed="9"/>
        <rFont val="微軟正黑體"/>
        <family val="2"/>
        <charset val="136"/>
      </rPr>
      <t>隊員一</t>
    </r>
    <r>
      <rPr>
        <b/>
        <sz val="9"/>
        <color indexed="9"/>
        <rFont val="DejaVu Sans"/>
      </rPr>
      <t xml:space="preserve"> (</t>
    </r>
    <r>
      <rPr>
        <b/>
        <sz val="9"/>
        <color indexed="9"/>
        <rFont val="微軟正黑體"/>
        <family val="2"/>
        <charset val="136"/>
      </rPr>
      <t>學號</t>
    </r>
    <r>
      <rPr>
        <b/>
        <sz val="9"/>
        <color indexed="9"/>
        <rFont val="Arial"/>
        <family val="2"/>
      </rPr>
      <t xml:space="preserve"> </t>
    </r>
    <r>
      <rPr>
        <b/>
        <sz val="9"/>
        <color indexed="9"/>
        <rFont val="微軟正黑體"/>
        <family val="2"/>
        <charset val="136"/>
      </rPr>
      <t>姓名</t>
    </r>
    <r>
      <rPr>
        <b/>
        <sz val="9"/>
        <color indexed="9"/>
        <rFont val="Arial"/>
        <family val="2"/>
      </rPr>
      <t>)</t>
    </r>
  </si>
  <si>
    <r>
      <rPr>
        <b/>
        <sz val="9"/>
        <color indexed="9"/>
        <rFont val="微軟正黑體"/>
        <family val="2"/>
        <charset val="136"/>
      </rPr>
      <t>隊員二</t>
    </r>
    <r>
      <rPr>
        <b/>
        <sz val="9"/>
        <color indexed="9"/>
        <rFont val="DejaVu Sans"/>
      </rPr>
      <t xml:space="preserve"> (學號 姓名)</t>
    </r>
  </si>
  <si>
    <t>日期</t>
  </si>
  <si>
    <t>項次</t>
  </si>
  <si>
    <t>分類</t>
  </si>
  <si>
    <t>零件名稱</t>
  </si>
  <si>
    <r>
      <rPr>
        <b/>
        <sz val="9"/>
        <color indexed="9"/>
        <rFont val="DejaVu Sans"/>
      </rPr>
      <t xml:space="preserve">規格 </t>
    </r>
    <r>
      <rPr>
        <b/>
        <sz val="9"/>
        <color indexed="9"/>
        <rFont val="Arial"/>
        <family val="2"/>
      </rPr>
      <t xml:space="preserve">/ </t>
    </r>
    <r>
      <rPr>
        <b/>
        <sz val="9"/>
        <color indexed="9"/>
        <rFont val="DejaVu Sans"/>
      </rPr>
      <t>型號</t>
    </r>
  </si>
  <si>
    <t>數量</t>
  </si>
  <si>
    <r>
      <rPr>
        <b/>
        <sz val="9"/>
        <color indexed="9"/>
        <rFont val="DejaVu Sans"/>
      </rPr>
      <t xml:space="preserve">單價
</t>
    </r>
    <r>
      <rPr>
        <b/>
        <sz val="9"/>
        <color indexed="9"/>
        <rFont val="Arial"/>
        <family val="2"/>
      </rPr>
      <t>(NT$)</t>
    </r>
  </si>
  <si>
    <r>
      <rPr>
        <b/>
        <sz val="9"/>
        <color indexed="9"/>
        <rFont val="DejaVu Sans"/>
      </rPr>
      <t xml:space="preserve">小計
</t>
    </r>
    <r>
      <rPr>
        <b/>
        <sz val="9"/>
        <color indexed="9"/>
        <rFont val="Arial"/>
        <family val="2"/>
      </rPr>
      <t>(NT$)</t>
    </r>
  </si>
  <si>
    <t>來源</t>
  </si>
  <si>
    <r>
      <rPr>
        <b/>
        <sz val="9"/>
        <color indexed="9"/>
        <rFont val="DejaVu Sans"/>
      </rPr>
      <t xml:space="preserve">採購連結 </t>
    </r>
    <r>
      <rPr>
        <b/>
        <sz val="9"/>
        <color indexed="9"/>
        <rFont val="Arial"/>
        <family val="2"/>
      </rPr>
      <t xml:space="preserve">/ </t>
    </r>
    <r>
      <rPr>
        <b/>
        <sz val="9"/>
        <color indexed="9"/>
        <rFont val="DejaVu Sans"/>
      </rPr>
      <t>來源說明</t>
    </r>
  </si>
  <si>
    <t>備註</t>
  </si>
  <si>
    <t>微控制器</t>
  </si>
  <si>
    <r>
      <rPr>
        <sz val="9"/>
        <color indexed="8"/>
        <rFont val="Arial"/>
        <family val="2"/>
      </rPr>
      <t xml:space="preserve">ESP32 </t>
    </r>
    <r>
      <rPr>
        <sz val="9"/>
        <color indexed="8"/>
        <rFont val="DejaVu Sans"/>
      </rPr>
      <t>38腳</t>
    </r>
  </si>
  <si>
    <t>NodeMCU-32S WIFI+藍牙</t>
  </si>
  <si>
    <t>—</t>
  </si>
  <si>
    <t>0</t>
  </si>
  <si>
    <t>助教提供</t>
  </si>
  <si>
    <r>
      <rPr>
        <u/>
        <sz val="9"/>
        <color indexed="14"/>
        <rFont val="Arial"/>
        <family val="2"/>
      </rPr>
      <t>https://shop.mirotek.com.tw/shop/200094/</t>
    </r>
  </si>
  <si>
    <t>動力系統</t>
  </si>
  <si>
    <t>直流有刷減速馬達</t>
  </si>
  <si>
    <t>DC3V-6V直流減速電機TT馬達強磁抗干擾</t>
  </si>
  <si>
    <r>
      <rPr>
        <u/>
        <sz val="9"/>
        <color indexed="14"/>
        <rFont val="Arial"/>
        <family val="2"/>
      </rPr>
      <t>https://shop.mirotek.com.tw/shop/400004a/?attribute_%25e8%25a6%258f%25e6%25a0%25bc=輪胎%2B馬達%28焊接杜邦公頭線%29</t>
    </r>
  </si>
  <si>
    <r>
      <rPr>
        <sz val="9"/>
        <color indexed="8"/>
        <rFont val="DejaVu Sans"/>
      </rPr>
      <t xml:space="preserve">額定連續輸出功率 </t>
    </r>
    <r>
      <rPr>
        <sz val="9"/>
        <color indexed="8"/>
        <rFont val="Arial"/>
        <family val="2"/>
      </rPr>
      <t>&lt; 15 W</t>
    </r>
    <r>
      <rPr>
        <sz val="9"/>
        <color indexed="8"/>
        <rFont val="DejaVu Sans"/>
      </rPr>
      <t xml:space="preserve">；堵轉電流 </t>
    </r>
    <r>
      <rPr>
        <sz val="9"/>
        <color indexed="8"/>
        <rFont val="Arial"/>
        <family val="2"/>
      </rPr>
      <t>&lt; 2 A</t>
    </r>
    <r>
      <rPr>
        <sz val="9"/>
        <color indexed="8"/>
        <rFont val="DejaVu Sans"/>
      </rPr>
      <t>（附規格書）</t>
    </r>
  </si>
  <si>
    <t>馬達驅動器模組</t>
  </si>
  <si>
    <t>L298N馬達驅動器模組</t>
  </si>
  <si>
    <r>
      <rPr>
        <u/>
        <sz val="9"/>
        <color indexed="14"/>
        <rFont val="Arial"/>
        <family val="2"/>
      </rPr>
      <t>https://shop.mirotek.com.tw/shop/400027/</t>
    </r>
  </si>
  <si>
    <r>
      <rPr>
        <sz val="9"/>
        <color indexed="8"/>
        <rFont val="DejaVu Sans"/>
      </rPr>
      <t>橡膠輪胎</t>
    </r>
    <r>
      <rPr>
        <sz val="9"/>
        <color indexed="8"/>
        <rFont val="Arial"/>
        <family val="2"/>
      </rPr>
      <t>+</t>
    </r>
    <r>
      <rPr>
        <sz val="9"/>
        <color indexed="8"/>
        <rFont val="DejaVu Sans"/>
      </rPr>
      <t>輪轂</t>
    </r>
  </si>
  <si>
    <r>
      <rPr>
        <sz val="9"/>
        <color indexed="8"/>
        <rFont val="DejaVu Sans"/>
      </rPr>
      <t xml:space="preserve">直徑 </t>
    </r>
    <r>
      <rPr>
        <sz val="9"/>
        <color indexed="8"/>
        <rFont val="Arial"/>
        <family val="2"/>
      </rPr>
      <t xml:space="preserve">65 mm </t>
    </r>
    <r>
      <rPr>
        <sz val="9"/>
        <color indexed="8"/>
        <rFont val="DejaVu Sans"/>
      </rPr>
      <t xml:space="preserve">軟橡膠輪 </t>
    </r>
    <r>
      <rPr>
        <sz val="9"/>
        <color indexed="8"/>
        <rFont val="Arial"/>
        <family val="2"/>
      </rPr>
      <t xml:space="preserve">× 2 </t>
    </r>
    <r>
      <rPr>
        <sz val="9"/>
        <color indexed="8"/>
        <rFont val="DejaVu Sans"/>
      </rPr>
      <t>組</t>
    </r>
  </si>
  <si>
    <t>https://shopee.tw/...</t>
  </si>
  <si>
    <t>金屬萬向輪</t>
  </si>
  <si>
    <r>
      <rPr>
        <sz val="9"/>
        <color indexed="8"/>
        <rFont val="DejaVu Sans"/>
      </rPr>
      <t xml:space="preserve">不鏽鋼 </t>
    </r>
    <r>
      <rPr>
        <sz val="9"/>
        <color indexed="8"/>
        <rFont val="Arial"/>
        <family val="2"/>
      </rPr>
      <t xml:space="preserve">1" </t>
    </r>
    <r>
      <rPr>
        <sz val="9"/>
        <color indexed="8"/>
        <rFont val="DejaVu Sans"/>
      </rPr>
      <t>萬向輪</t>
    </r>
  </si>
  <si>
    <r>
      <rPr>
        <sz val="9"/>
        <color indexed="8"/>
        <rFont val="DejaVu Sans"/>
      </rPr>
      <t xml:space="preserve">被動支撐元件，≤ </t>
    </r>
    <r>
      <rPr>
        <sz val="9"/>
        <color indexed="8"/>
        <rFont val="Arial"/>
        <family val="2"/>
      </rPr>
      <t xml:space="preserve">2 </t>
    </r>
    <r>
      <rPr>
        <sz val="9"/>
        <color indexed="8"/>
        <rFont val="DejaVu Sans"/>
      </rPr>
      <t>個</t>
    </r>
  </si>
  <si>
    <t>感測器</t>
  </si>
  <si>
    <r>
      <rPr>
        <sz val="9"/>
        <color indexed="8"/>
        <rFont val="Arial"/>
        <family val="2"/>
      </rPr>
      <t xml:space="preserve">IR </t>
    </r>
    <r>
      <rPr>
        <sz val="9"/>
        <color indexed="8"/>
        <rFont val="DejaVu Sans"/>
      </rPr>
      <t>循跡感測器陣列</t>
    </r>
  </si>
  <si>
    <r>
      <rPr>
        <sz val="9"/>
        <color indexed="8"/>
        <rFont val="Arial"/>
        <family val="2"/>
      </rPr>
      <t xml:space="preserve">TCRT5000 </t>
    </r>
    <r>
      <rPr>
        <sz val="9"/>
        <color indexed="8"/>
        <rFont val="微軟正黑體"/>
        <family val="2"/>
        <charset val="136"/>
      </rPr>
      <t>五路循跡模組</t>
    </r>
  </si>
  <si>
    <r>
      <rPr>
        <u/>
        <sz val="9"/>
        <color indexed="14"/>
        <rFont val="Arial"/>
        <family val="2"/>
      </rPr>
      <t>https://shop.mirotek.com.tw/shop/400107/</t>
    </r>
  </si>
  <si>
    <r>
      <rPr>
        <sz val="9"/>
        <color indexed="8"/>
        <rFont val="Arial"/>
        <family val="2"/>
      </rPr>
      <t>CDS</t>
    </r>
    <r>
      <rPr>
        <sz val="9"/>
        <color indexed="8"/>
        <rFont val="DejaVu Sans"/>
      </rPr>
      <t xml:space="preserve">；安裝於車底，偵測 </t>
    </r>
    <r>
      <rPr>
        <sz val="9"/>
        <color indexed="8"/>
        <rFont val="Arial"/>
        <family val="2"/>
      </rPr>
      <t xml:space="preserve">48 mm </t>
    </r>
    <r>
      <rPr>
        <sz val="9"/>
        <color indexed="8"/>
        <rFont val="DejaVu Sans"/>
      </rPr>
      <t>黑色軌跡線</t>
    </r>
  </si>
  <si>
    <t>電氣系統</t>
  </si>
  <si>
    <r>
      <rPr>
        <sz val="9"/>
        <color indexed="8"/>
        <rFont val="Arial"/>
        <family val="2"/>
      </rPr>
      <t xml:space="preserve">18650 </t>
    </r>
    <r>
      <rPr>
        <sz val="9"/>
        <color indexed="8"/>
        <rFont val="DejaVu Sans"/>
      </rPr>
      <t>鋰電池</t>
    </r>
  </si>
  <si>
    <t>Panasonic NCR18650B 3400 mAh</t>
  </si>
  <si>
    <t>電子材料行自購</t>
  </si>
  <si>
    <r>
      <rPr>
        <sz val="9"/>
        <color indexed="8"/>
        <rFont val="DejaVu Sans"/>
      </rPr>
      <t xml:space="preserve">規定使用 </t>
    </r>
    <r>
      <rPr>
        <sz val="9"/>
        <color indexed="8"/>
        <rFont val="Arial"/>
        <family val="2"/>
      </rPr>
      <t xml:space="preserve">2 </t>
    </r>
    <r>
      <rPr>
        <sz val="9"/>
        <color indexed="8"/>
        <rFont val="DejaVu Sans"/>
      </rPr>
      <t>顆串聯；請勿使用雜牌電池</t>
    </r>
  </si>
  <si>
    <r>
      <rPr>
        <sz val="9"/>
        <color indexed="8"/>
        <rFont val="Arial"/>
        <family val="2"/>
      </rPr>
      <t xml:space="preserve">18650 </t>
    </r>
    <r>
      <rPr>
        <sz val="9"/>
        <color indexed="8"/>
        <rFont val="DejaVu Sans"/>
      </rPr>
      <t>雙節串聯電池座</t>
    </r>
  </si>
  <si>
    <r>
      <rPr>
        <sz val="9"/>
        <color indexed="8"/>
        <rFont val="DejaVu Sans"/>
      </rPr>
      <t xml:space="preserve">帶引線 </t>
    </r>
    <r>
      <rPr>
        <sz val="9"/>
        <color indexed="8"/>
        <rFont val="Arial"/>
        <family val="2"/>
      </rPr>
      <t xml:space="preserve">2S </t>
    </r>
    <r>
      <rPr>
        <sz val="9"/>
        <color indexed="8"/>
        <rFont val="DejaVu Sans"/>
      </rPr>
      <t>電池座</t>
    </r>
  </si>
  <si>
    <t>杜邦線套組</t>
  </si>
  <si>
    <r>
      <rPr>
        <sz val="9"/>
        <color indexed="8"/>
        <rFont val="DejaVu Sans"/>
      </rPr>
      <t xml:space="preserve">公對母 </t>
    </r>
    <r>
      <rPr>
        <sz val="9"/>
        <color indexed="8"/>
        <rFont val="Arial"/>
        <family val="2"/>
      </rPr>
      <t xml:space="preserve">/ </t>
    </r>
    <r>
      <rPr>
        <sz val="9"/>
        <color indexed="8"/>
        <rFont val="DejaVu Sans"/>
      </rPr>
      <t xml:space="preserve">公對公 各 </t>
    </r>
    <r>
      <rPr>
        <sz val="9"/>
        <color indexed="8"/>
        <rFont val="Arial"/>
        <family val="2"/>
      </rPr>
      <t xml:space="preserve">20 </t>
    </r>
    <r>
      <rPr>
        <sz val="9"/>
        <color indexed="8"/>
        <rFont val="DejaVu Sans"/>
      </rPr>
      <t>條</t>
    </r>
  </si>
  <si>
    <r>
      <rPr>
        <sz val="9"/>
        <color indexed="8"/>
        <rFont val="DejaVu Sans"/>
      </rPr>
      <t>撥動開關（</t>
    </r>
    <r>
      <rPr>
        <sz val="9"/>
        <color indexed="8"/>
        <rFont val="Arial"/>
        <family val="2"/>
      </rPr>
      <t>TSMS</t>
    </r>
    <r>
      <rPr>
        <sz val="9"/>
        <color indexed="8"/>
        <rFont val="DejaVu Sans"/>
      </rPr>
      <t>）</t>
    </r>
  </si>
  <si>
    <r>
      <rPr>
        <sz val="9"/>
        <color indexed="8"/>
        <rFont val="DejaVu Sans"/>
      </rPr>
      <t xml:space="preserve">鎖定型單刀單投撥動開關 </t>
    </r>
    <r>
      <rPr>
        <sz val="9"/>
        <color indexed="8"/>
        <rFont val="Arial"/>
        <family val="2"/>
      </rPr>
      <t>MTS-101</t>
    </r>
  </si>
  <si>
    <r>
      <rPr>
        <sz val="9"/>
        <color indexed="8"/>
        <rFont val="Arial"/>
        <family val="2"/>
      </rPr>
      <t xml:space="preserve">T8.2 </t>
    </r>
    <r>
      <rPr>
        <sz val="9"/>
        <color indexed="8"/>
        <rFont val="DejaVu Sans"/>
      </rPr>
      <t>進階要求；物理切斷動力電源</t>
    </r>
  </si>
  <si>
    <r>
      <rPr>
        <sz val="9"/>
        <color indexed="8"/>
        <rFont val="Arial"/>
        <family val="2"/>
      </rPr>
      <t>RGB LED</t>
    </r>
    <r>
      <rPr>
        <sz val="9"/>
        <color indexed="8"/>
        <rFont val="DejaVu Sans"/>
      </rPr>
      <t>（</t>
    </r>
    <r>
      <rPr>
        <sz val="9"/>
        <color indexed="8"/>
        <rFont val="Arial"/>
        <family val="2"/>
      </rPr>
      <t>ASL</t>
    </r>
    <r>
      <rPr>
        <sz val="9"/>
        <color indexed="8"/>
        <rFont val="DejaVu Sans"/>
      </rPr>
      <t>）</t>
    </r>
  </si>
  <si>
    <r>
      <rPr>
        <sz val="9"/>
        <color indexed="8"/>
        <rFont val="Arial"/>
        <family val="2"/>
      </rPr>
      <t xml:space="preserve">5 mm </t>
    </r>
    <r>
      <rPr>
        <sz val="9"/>
        <color indexed="8"/>
        <rFont val="DejaVu Sans"/>
      </rPr>
      <t xml:space="preserve">共陰 </t>
    </r>
    <r>
      <rPr>
        <sz val="9"/>
        <color indexed="8"/>
        <rFont val="Arial"/>
        <family val="2"/>
      </rPr>
      <t>RGB LED</t>
    </r>
  </si>
  <si>
    <r>
      <rPr>
        <sz val="9"/>
        <color indexed="8"/>
        <rFont val="Arial"/>
        <family val="2"/>
      </rPr>
      <t xml:space="preserve">T8.4 </t>
    </r>
    <r>
      <rPr>
        <sz val="9"/>
        <color indexed="8"/>
        <rFont val="DejaVu Sans"/>
      </rPr>
      <t>進階要求；裝於車體最高處</t>
    </r>
  </si>
  <si>
    <r>
      <rPr>
        <sz val="9"/>
        <color indexed="8"/>
        <rFont val="Arial"/>
        <family val="2"/>
      </rPr>
      <t xml:space="preserve">470 Ω </t>
    </r>
    <r>
      <rPr>
        <sz val="9"/>
        <color indexed="8"/>
        <rFont val="DejaVu Sans"/>
      </rPr>
      <t>限流電阻</t>
    </r>
  </si>
  <si>
    <r>
      <rPr>
        <sz val="9"/>
        <color indexed="8"/>
        <rFont val="Arial"/>
        <family val="2"/>
      </rPr>
      <t xml:space="preserve">1/4 W </t>
    </r>
    <r>
      <rPr>
        <sz val="9"/>
        <color indexed="8"/>
        <rFont val="DejaVu Sans"/>
      </rPr>
      <t>碳膜電阻</t>
    </r>
  </si>
  <si>
    <r>
      <rPr>
        <sz val="9"/>
        <color indexed="8"/>
        <rFont val="Arial"/>
        <family val="2"/>
      </rPr>
      <t xml:space="preserve">ASL LED </t>
    </r>
    <r>
      <rPr>
        <sz val="9"/>
        <color indexed="8"/>
        <rFont val="DejaVu Sans"/>
      </rPr>
      <t>限流</t>
    </r>
  </si>
  <si>
    <t>結構件</t>
  </si>
  <si>
    <t>雷射切割壓克力底板</t>
  </si>
  <si>
    <r>
      <rPr>
        <sz val="9"/>
        <color indexed="8"/>
        <rFont val="Arial"/>
        <family val="2"/>
      </rPr>
      <t xml:space="preserve">3 mm </t>
    </r>
    <r>
      <rPr>
        <sz val="9"/>
        <color indexed="8"/>
        <rFont val="DejaVu Sans"/>
      </rPr>
      <t>透明壓克力，自行設計圖面</t>
    </r>
  </si>
  <si>
    <r>
      <rPr>
        <sz val="9"/>
        <color indexed="8"/>
        <rFont val="DejaVu Sans"/>
      </rPr>
      <t>委外雷射切割（</t>
    </r>
    <r>
      <rPr>
        <sz val="9"/>
        <color indexed="8"/>
        <rFont val="Arial"/>
        <family val="2"/>
      </rPr>
      <t xml:space="preserve">xxx </t>
    </r>
    <r>
      <rPr>
        <sz val="9"/>
        <color indexed="8"/>
        <rFont val="DejaVu Sans"/>
      </rPr>
      <t>工作室）</t>
    </r>
  </si>
  <si>
    <t>設計由隊伍完成；加工費全額計入</t>
  </si>
  <si>
    <r>
      <rPr>
        <sz val="9"/>
        <color indexed="8"/>
        <rFont val="Arial"/>
        <family val="2"/>
      </rPr>
      <t xml:space="preserve">M3 </t>
    </r>
    <r>
      <rPr>
        <sz val="9"/>
        <color indexed="8"/>
        <rFont val="DejaVu Sans"/>
      </rPr>
      <t>螺絲螺帽銅柱套件</t>
    </r>
  </si>
  <si>
    <r>
      <rPr>
        <sz val="9"/>
        <color indexed="8"/>
        <rFont val="Arial"/>
        <family val="2"/>
      </rPr>
      <t xml:space="preserve">M3×8 </t>
    </r>
    <r>
      <rPr>
        <sz val="9"/>
        <color indexed="8"/>
        <rFont val="DejaVu Sans"/>
      </rPr>
      <t>螺絲</t>
    </r>
    <r>
      <rPr>
        <sz val="9"/>
        <color indexed="8"/>
        <rFont val="Arial"/>
        <family val="2"/>
      </rPr>
      <t>/</t>
    </r>
    <r>
      <rPr>
        <sz val="9"/>
        <color indexed="8"/>
        <rFont val="DejaVu Sans"/>
      </rPr>
      <t>螺帽</t>
    </r>
    <r>
      <rPr>
        <sz val="9"/>
        <color indexed="8"/>
        <rFont val="Arial"/>
        <family val="2"/>
      </rPr>
      <t xml:space="preserve">/6 mm </t>
    </r>
    <r>
      <rPr>
        <sz val="9"/>
        <color indexed="8"/>
        <rFont val="DejaVu Sans"/>
      </rPr>
      <t>銅柱 各</t>
    </r>
    <r>
      <rPr>
        <sz val="9"/>
        <color indexed="8"/>
        <rFont val="Arial"/>
        <family val="2"/>
      </rPr>
      <t>20</t>
    </r>
  </si>
  <si>
    <t>五金行自購</t>
  </si>
  <si>
    <t>車板</t>
  </si>
  <si>
    <t>20x9x0.5cm透明壓克力板</t>
  </si>
  <si>
    <t>自行購買</t>
  </si>
  <si>
    <t>五金行購入</t>
  </si>
  <si>
    <t>車前制輪胎</t>
  </si>
  <si>
    <t>半徑3公分輪胎</t>
  </si>
  <si>
    <r>
      <rPr>
        <b/>
        <sz val="9"/>
        <color indexed="10"/>
        <rFont val="DejaVu Sans"/>
      </rPr>
      <t xml:space="preserve">自購零件總成本 </t>
    </r>
    <r>
      <rPr>
        <b/>
        <sz val="9"/>
        <color indexed="10"/>
        <rFont val="Arial"/>
        <family val="2"/>
      </rPr>
      <t>(NT$)</t>
    </r>
  </si>
  <si>
    <r>
      <rPr>
        <sz val="9"/>
        <color indexed="17"/>
        <rFont val="DejaVu Sans"/>
      </rPr>
      <t xml:space="preserve">助教提供件成本計 </t>
    </r>
    <r>
      <rPr>
        <sz val="9"/>
        <color indexed="17"/>
        <rFont val="Arial"/>
        <family val="2"/>
      </rPr>
      <t>0</t>
    </r>
    <r>
      <rPr>
        <sz val="9"/>
        <color indexed="17"/>
        <rFont val="DejaVu Sans"/>
      </rPr>
      <t>，不列入總計</t>
    </r>
  </si>
  <si>
    <r>
      <rPr>
        <b/>
        <sz val="9"/>
        <color indexed="10"/>
        <rFont val="DejaVu Sans"/>
      </rPr>
      <t xml:space="preserve">成本上限 </t>
    </r>
    <r>
      <rPr>
        <b/>
        <sz val="9"/>
        <color indexed="10"/>
        <rFont val="Arial"/>
        <family val="2"/>
      </rPr>
      <t>(NT$)</t>
    </r>
  </si>
  <si>
    <r>
      <rPr>
        <b/>
        <sz val="9"/>
        <color indexed="10"/>
        <rFont val="DejaVu Sans"/>
      </rPr>
      <t xml:space="preserve">超出金額 </t>
    </r>
    <r>
      <rPr>
        <b/>
        <sz val="9"/>
        <color indexed="10"/>
        <rFont val="Arial"/>
        <family val="2"/>
      </rPr>
      <t>(NT$)</t>
    </r>
  </si>
  <si>
    <t>請注意上表列出規格與零件僅為格式參考，非助教提供零件</t>
  </si>
  <si>
    <r>
      <t xml:space="preserve">E94146258 </t>
    </r>
    <r>
      <rPr>
        <sz val="11"/>
        <color indexed="8"/>
        <rFont val="微軟正黑體"/>
        <family val="2"/>
        <charset val="136"/>
      </rPr>
      <t>王法棣</t>
    </r>
  </si>
  <si>
    <r>
      <t xml:space="preserve">E94146282 </t>
    </r>
    <r>
      <rPr>
        <sz val="11"/>
        <color indexed="8"/>
        <rFont val="細明體"/>
        <family val="3"/>
        <charset val="136"/>
      </rPr>
      <t>蘇志宗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</si>
</sst>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3">
    <font>
      <sz val="11"/>
      <color indexed="8"/>
      <name val="Calibri"/>
    </font>
    <font>
      <b/>
      <sz val="16"/>
      <color indexed="9"/>
      <name val="Arial"/>
      <family val="2"/>
    </font>
    <font>
      <b/>
      <sz val="16"/>
      <color indexed="9"/>
      <name val="DejaVu Sans"/>
    </font>
    <font>
      <sz val="11"/>
      <color indexed="9"/>
      <name val="Arial"/>
      <family val="2"/>
    </font>
    <font>
      <b/>
      <sz val="9"/>
      <color indexed="9"/>
      <name val="DejaVu Sans"/>
    </font>
    <font>
      <sz val="9"/>
      <color indexed="8"/>
      <name val="Arial"/>
      <family val="2"/>
    </font>
    <font>
      <b/>
      <sz val="9"/>
      <color indexed="9"/>
      <name val="微軟正黑體"/>
      <family val="2"/>
      <charset val="136"/>
    </font>
    <font>
      <b/>
      <sz val="9"/>
      <color indexed="9"/>
      <name val="Arial"/>
      <family val="2"/>
    </font>
    <font>
      <sz val="9"/>
      <color indexed="8"/>
      <name val="微軟正黑體"/>
      <family val="2"/>
      <charset val="136"/>
    </font>
    <font>
      <b/>
      <sz val="9"/>
      <color indexed="9"/>
      <name val="DejaVu Sans"/>
    </font>
    <font>
      <b/>
      <sz val="9"/>
      <color indexed="9"/>
      <name val="微軟正黑體"/>
      <family val="2"/>
      <charset val="136"/>
    </font>
    <font>
      <sz val="9"/>
      <color indexed="8"/>
      <name val="DejaVu Sans"/>
    </font>
    <font>
      <u/>
      <sz val="9"/>
      <color indexed="14"/>
      <name val="Arial"/>
      <family val="2"/>
    </font>
    <font>
      <b/>
      <sz val="9"/>
      <color indexed="10"/>
      <name val="DejaVu Sans"/>
    </font>
    <font>
      <b/>
      <sz val="9"/>
      <color indexed="10"/>
      <name val="Arial"/>
      <family val="2"/>
    </font>
    <font>
      <b/>
      <sz val="10"/>
      <color indexed="10"/>
      <name val="Arial"/>
      <family val="2"/>
    </font>
    <font>
      <sz val="9"/>
      <color indexed="17"/>
      <name val="DejaVu Sans"/>
    </font>
    <font>
      <sz val="9"/>
      <color indexed="17"/>
      <name val="Arial"/>
      <family val="2"/>
    </font>
    <font>
      <b/>
      <sz val="14"/>
      <color indexed="18"/>
      <name val="Microsoft JhengHei"/>
      <family val="2"/>
      <charset val="136"/>
    </font>
    <font>
      <sz val="11"/>
      <color indexed="8"/>
      <name val="Arial"/>
      <family val="2"/>
    </font>
    <font>
      <sz val="11"/>
      <color indexed="8"/>
      <name val="微軟正黑體"/>
      <family val="2"/>
      <charset val="136"/>
    </font>
    <font>
      <sz val="9"/>
      <name val="細明體"/>
      <family val="3"/>
      <charset val="136"/>
    </font>
    <font>
      <sz val="11"/>
      <color indexed="8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 style="thin">
        <color indexed="11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44">
    <xf numFmtId="0" fontId="0" fillId="0" borderId="0" xfId="0"/>
    <xf numFmtId="0" fontId="0" fillId="0" borderId="0" xfId="0" applyNumberFormat="1"/>
    <xf numFmtId="49" fontId="4" fillId="3" borderId="8" xfId="0" applyNumberFormat="1" applyFont="1" applyFill="1" applyBorder="1" applyAlignment="1">
      <alignment horizontal="center" vertical="center"/>
    </xf>
    <xf numFmtId="0" fontId="0" fillId="0" borderId="10" xfId="0" applyBorder="1"/>
    <xf numFmtId="49" fontId="4" fillId="3" borderId="11" xfId="0" applyNumberFormat="1" applyFont="1" applyFill="1" applyBorder="1" applyAlignment="1">
      <alignment horizontal="center" vertical="center"/>
    </xf>
    <xf numFmtId="0" fontId="0" fillId="0" borderId="8" xfId="0" applyBorder="1"/>
    <xf numFmtId="49" fontId="9" fillId="3" borderId="9" xfId="0" applyNumberFormat="1" applyFont="1" applyFill="1" applyBorder="1" applyAlignment="1">
      <alignment horizontal="center" vertical="center" wrapText="1"/>
    </xf>
    <xf numFmtId="49" fontId="10" fillId="3" borderId="9" xfId="0" applyNumberFormat="1" applyFont="1" applyFill="1" applyBorder="1" applyAlignment="1">
      <alignment horizontal="center" vertical="center" wrapText="1"/>
    </xf>
    <xf numFmtId="0" fontId="5" fillId="5" borderId="9" xfId="0" applyNumberFormat="1" applyFont="1" applyFill="1" applyBorder="1" applyAlignment="1">
      <alignment horizontal="center" vertical="center"/>
    </xf>
    <xf numFmtId="49" fontId="11" fillId="5" borderId="9" xfId="0" applyNumberFormat="1" applyFont="1" applyFill="1" applyBorder="1" applyAlignment="1">
      <alignment horizontal="left" vertical="center" wrapText="1"/>
    </xf>
    <xf numFmtId="49" fontId="5" fillId="5" borderId="9" xfId="0" applyNumberFormat="1" applyFont="1" applyFill="1" applyBorder="1" applyAlignment="1">
      <alignment horizontal="left" vertical="center" wrapText="1"/>
    </xf>
    <xf numFmtId="49" fontId="5" fillId="5" borderId="9" xfId="0" applyNumberFormat="1" applyFont="1" applyFill="1" applyBorder="1" applyAlignment="1">
      <alignment horizontal="center" vertical="center"/>
    </xf>
    <xf numFmtId="49" fontId="11" fillId="5" borderId="9" xfId="0" applyNumberFormat="1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left" vertical="center" wrapText="1"/>
    </xf>
    <xf numFmtId="0" fontId="5" fillId="6" borderId="9" xfId="0" applyNumberFormat="1" applyFont="1" applyFill="1" applyBorder="1" applyAlignment="1">
      <alignment horizontal="center" vertical="center"/>
    </xf>
    <xf numFmtId="49" fontId="8" fillId="6" borderId="9" xfId="0" applyNumberFormat="1" applyFont="1" applyFill="1" applyBorder="1" applyAlignment="1">
      <alignment horizontal="left" vertical="center" wrapText="1"/>
    </xf>
    <xf numFmtId="49" fontId="11" fillId="6" borderId="9" xfId="0" applyNumberFormat="1" applyFont="1" applyFill="1" applyBorder="1" applyAlignment="1">
      <alignment horizontal="left" vertical="center" wrapText="1"/>
    </xf>
    <xf numFmtId="49" fontId="0" fillId="6" borderId="9" xfId="0" applyNumberFormat="1" applyFill="1" applyBorder="1" applyAlignment="1">
      <alignment horizontal="left" vertical="center" wrapText="1"/>
    </xf>
    <xf numFmtId="49" fontId="11" fillId="6" borderId="9" xfId="0" applyNumberFormat="1" applyFont="1" applyFill="1" applyBorder="1" applyAlignment="1">
      <alignment horizontal="center" vertical="center"/>
    </xf>
    <xf numFmtId="49" fontId="5" fillId="6" borderId="9" xfId="0" applyNumberFormat="1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13" fillId="7" borderId="9" xfId="0" applyNumberFormat="1" applyFont="1" applyFill="1" applyBorder="1" applyAlignment="1">
      <alignment horizontal="right" vertical="center"/>
    </xf>
    <xf numFmtId="0" fontId="13" fillId="7" borderId="9" xfId="0" applyFont="1" applyFill="1" applyBorder="1" applyAlignment="1">
      <alignment horizontal="right" vertical="center"/>
    </xf>
    <xf numFmtId="0" fontId="15" fillId="7" borderId="9" xfId="0" applyNumberFormat="1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6" fillId="7" borderId="9" xfId="0" applyFont="1" applyFill="1" applyBorder="1" applyAlignment="1">
      <alignment horizontal="left" vertical="center"/>
    </xf>
    <xf numFmtId="49" fontId="18" fillId="7" borderId="9" xfId="0" applyNumberFormat="1" applyFont="1" applyFill="1" applyBorder="1" applyAlignment="1">
      <alignment horizontal="left" vertical="center"/>
    </xf>
    <xf numFmtId="0" fontId="17" fillId="7" borderId="9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9" fontId="16" fillId="7" borderId="9" xfId="0" applyNumberFormat="1" applyFont="1" applyFill="1" applyBorder="1" applyAlignment="1">
      <alignment horizontal="left" vertical="center"/>
    </xf>
    <xf numFmtId="0" fontId="0" fillId="0" borderId="9" xfId="0" applyBorder="1"/>
    <xf numFmtId="0" fontId="18" fillId="7" borderId="9" xfId="0" applyFont="1" applyFill="1" applyBorder="1" applyAlignment="1">
      <alignment horizontal="left" vertical="center"/>
    </xf>
    <xf numFmtId="49" fontId="19" fillId="4" borderId="9" xfId="0" applyNumberFormat="1" applyFont="1" applyFill="1" applyBorder="1" applyAlignment="1">
      <alignment horizontal="center" vertical="center"/>
    </xf>
    <xf numFmtId="0" fontId="19" fillId="4" borderId="9" xfId="0" applyNumberFormat="1" applyFont="1" applyFill="1" applyBorder="1" applyAlignment="1">
      <alignment horizontal="center" vertical="center"/>
    </xf>
    <xf numFmtId="176" fontId="19" fillId="4" borderId="9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864"/>
      <rgbColor rgb="FFAAAAAA"/>
      <rgbColor rgb="FF2E75B6"/>
      <rgbColor rgb="FFE2EFDA"/>
      <rgbColor rgb="FF0000FF"/>
      <rgbColor rgb="FFFFF2CC"/>
      <rgbColor rgb="FFD6E4F0"/>
      <rgbColor rgb="FF595959"/>
      <rgbColor rgb="FFFF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mirotek.com.tw/shop/400027/" TargetMode="External"/><Relationship Id="rId2" Type="http://schemas.openxmlformats.org/officeDocument/2006/relationships/hyperlink" Target="https://shop.mirotek.com.tw/shop/400004a/?attribute_%2525e8%2525a6%25258f%2525e6%2525a0%2525bc=%E8%BC%AA%E8%83%8E%252B%E9%A6%AC%E9%81%94%2528%E7%84%8A%E6%8E%A5%E6%9D%9C%E9%82%A6%E5%85%AC%E9%A0%AD%E7%B7%9A%2529" TargetMode="External"/><Relationship Id="rId1" Type="http://schemas.openxmlformats.org/officeDocument/2006/relationships/hyperlink" Target="https://shop.mirotek.com.tw/shop/200094/" TargetMode="External"/><Relationship Id="rId4" Type="http://schemas.openxmlformats.org/officeDocument/2006/relationships/hyperlink" Target="https://shop.mirotek.com.tw/shop/40010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tabSelected="1" workbookViewId="0">
      <selection activeCell="E9" sqref="E9"/>
    </sheetView>
  </sheetViews>
  <sheetFormatPr defaultColWidth="8.6328125" defaultRowHeight="14.4" customHeight="1"/>
  <cols>
    <col min="1" max="1" width="12" style="1" customWidth="1"/>
    <col min="2" max="2" width="15.453125" style="1" customWidth="1"/>
    <col min="3" max="3" width="25" style="1" customWidth="1"/>
    <col min="4" max="4" width="33" style="1" customWidth="1"/>
    <col min="5" max="5" width="22.6328125" style="1" customWidth="1"/>
    <col min="6" max="6" width="26.453125" style="1" customWidth="1"/>
    <col min="7" max="7" width="16.1796875" style="1" customWidth="1"/>
    <col min="8" max="8" width="12.453125" style="1" customWidth="1"/>
    <col min="9" max="9" width="34.1796875" style="1" customWidth="1"/>
    <col min="10" max="10" width="28" style="1" customWidth="1"/>
    <col min="11" max="11" width="8.6328125" style="1" customWidth="1"/>
    <col min="12" max="16384" width="8.6328125" style="1"/>
  </cols>
  <sheetData>
    <row r="1" spans="1:10" ht="27.75" customHeigh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3"/>
    </row>
    <row r="2" spans="1:10" ht="19.5" customHeight="1">
      <c r="A2" s="34" t="s">
        <v>1</v>
      </c>
      <c r="B2" s="35"/>
      <c r="C2" s="36"/>
      <c r="D2" s="35"/>
      <c r="E2" s="36"/>
      <c r="F2" s="35"/>
      <c r="G2" s="36"/>
      <c r="H2" s="36"/>
      <c r="I2" s="35"/>
      <c r="J2" s="37"/>
    </row>
    <row r="3" spans="1:10" ht="18" customHeight="1">
      <c r="A3" s="2" t="s">
        <v>2</v>
      </c>
      <c r="B3" s="42">
        <v>16</v>
      </c>
      <c r="C3" s="2" t="s">
        <v>3</v>
      </c>
      <c r="D3" s="41" t="s">
        <v>79</v>
      </c>
      <c r="E3" s="2" t="s">
        <v>4</v>
      </c>
      <c r="F3" s="41" t="s">
        <v>80</v>
      </c>
      <c r="G3" s="3"/>
      <c r="H3" s="4" t="s">
        <v>5</v>
      </c>
      <c r="I3" s="43">
        <v>46185</v>
      </c>
      <c r="J3" s="5"/>
    </row>
    <row r="4" spans="1:10" ht="30" customHeight="1">
      <c r="A4" s="6" t="s">
        <v>6</v>
      </c>
      <c r="B4" s="7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</row>
    <row r="5" spans="1:10" ht="27.75" customHeight="1">
      <c r="A5" s="8">
        <v>1</v>
      </c>
      <c r="B5" s="9" t="s">
        <v>16</v>
      </c>
      <c r="C5" s="10" t="s">
        <v>17</v>
      </c>
      <c r="D5" s="10" t="s">
        <v>18</v>
      </c>
      <c r="E5" s="8">
        <v>1</v>
      </c>
      <c r="F5" s="11" t="s">
        <v>19</v>
      </c>
      <c r="G5" s="11" t="s">
        <v>20</v>
      </c>
      <c r="H5" s="12" t="s">
        <v>21</v>
      </c>
      <c r="I5" s="10" t="s">
        <v>22</v>
      </c>
      <c r="J5" s="13"/>
    </row>
    <row r="6" spans="1:10" ht="27.75" customHeight="1">
      <c r="A6" s="14">
        <v>2</v>
      </c>
      <c r="B6" s="15" t="s">
        <v>23</v>
      </c>
      <c r="C6" s="16" t="s">
        <v>24</v>
      </c>
      <c r="D6" s="17" t="s">
        <v>25</v>
      </c>
      <c r="E6" s="14">
        <v>2</v>
      </c>
      <c r="F6" s="14">
        <v>90</v>
      </c>
      <c r="G6" s="14" cm="1">
        <f t="array" ref="G6">E6*F6</f>
        <v>180</v>
      </c>
      <c r="H6" s="18" t="s">
        <v>21</v>
      </c>
      <c r="I6" s="19" t="s">
        <v>26</v>
      </c>
      <c r="J6" s="16" t="s">
        <v>27</v>
      </c>
    </row>
    <row r="7" spans="1:10" ht="27.75" customHeight="1">
      <c r="A7" s="14">
        <v>3</v>
      </c>
      <c r="B7" s="16" t="s">
        <v>23</v>
      </c>
      <c r="C7" s="16" t="s">
        <v>28</v>
      </c>
      <c r="D7" s="17" t="s">
        <v>29</v>
      </c>
      <c r="E7" s="14">
        <v>1</v>
      </c>
      <c r="F7" s="14">
        <v>75</v>
      </c>
      <c r="G7" s="14" cm="1">
        <f t="array" ref="G7">E7*F7</f>
        <v>75</v>
      </c>
      <c r="H7" s="18" t="s">
        <v>21</v>
      </c>
      <c r="I7" s="19" t="s">
        <v>30</v>
      </c>
      <c r="J7" s="20"/>
    </row>
    <row r="8" spans="1:10" ht="27.75" customHeight="1">
      <c r="A8" s="14">
        <v>4</v>
      </c>
      <c r="B8" s="16" t="s">
        <v>23</v>
      </c>
      <c r="C8" s="16" t="s">
        <v>31</v>
      </c>
      <c r="D8" s="16" t="s">
        <v>32</v>
      </c>
      <c r="E8" s="14">
        <v>2</v>
      </c>
      <c r="F8" s="14">
        <v>35</v>
      </c>
      <c r="G8" s="14" cm="1">
        <f t="array" ref="G8">E8*F8</f>
        <v>70</v>
      </c>
      <c r="H8" s="18" t="s">
        <v>21</v>
      </c>
      <c r="I8" s="19" t="s">
        <v>33</v>
      </c>
      <c r="J8" s="20"/>
    </row>
    <row r="9" spans="1:10" ht="27.75" customHeight="1">
      <c r="A9" s="14">
        <v>5</v>
      </c>
      <c r="B9" s="16" t="s">
        <v>23</v>
      </c>
      <c r="C9" s="16" t="s">
        <v>34</v>
      </c>
      <c r="D9" s="16" t="s">
        <v>35</v>
      </c>
      <c r="E9" s="14">
        <v>1</v>
      </c>
      <c r="F9" s="14">
        <v>28</v>
      </c>
      <c r="G9" s="14" cm="1">
        <f t="array" ref="G9">E9*F9</f>
        <v>28</v>
      </c>
      <c r="H9" s="18" t="s">
        <v>21</v>
      </c>
      <c r="I9" s="19" t="s">
        <v>33</v>
      </c>
      <c r="J9" s="16" t="s">
        <v>36</v>
      </c>
    </row>
    <row r="10" spans="1:10" ht="27.75" customHeight="1">
      <c r="A10" s="14">
        <v>6</v>
      </c>
      <c r="B10" s="15" t="s">
        <v>37</v>
      </c>
      <c r="C10" s="19" t="s">
        <v>38</v>
      </c>
      <c r="D10" s="19" t="s">
        <v>39</v>
      </c>
      <c r="E10" s="14">
        <v>1</v>
      </c>
      <c r="F10" s="14">
        <v>65</v>
      </c>
      <c r="G10" s="14" cm="1">
        <f t="array" ref="G10">E10*F10</f>
        <v>65</v>
      </c>
      <c r="H10" s="18" t="s">
        <v>21</v>
      </c>
      <c r="I10" s="19" t="s">
        <v>40</v>
      </c>
      <c r="J10" s="19" t="s">
        <v>41</v>
      </c>
    </row>
    <row r="11" spans="1:10" ht="27.75" customHeight="1">
      <c r="A11" s="14">
        <v>7</v>
      </c>
      <c r="B11" s="16" t="s">
        <v>42</v>
      </c>
      <c r="C11" s="19" t="s">
        <v>43</v>
      </c>
      <c r="D11" s="19" t="s">
        <v>44</v>
      </c>
      <c r="E11" s="14">
        <v>2</v>
      </c>
      <c r="F11" s="14">
        <v>130</v>
      </c>
      <c r="G11" s="14" cm="1">
        <f t="array" ref="G11">E11*F11</f>
        <v>260</v>
      </c>
      <c r="H11" s="18" t="s">
        <v>21</v>
      </c>
      <c r="I11" s="16" t="s">
        <v>45</v>
      </c>
      <c r="J11" s="16" t="s">
        <v>46</v>
      </c>
    </row>
    <row r="12" spans="1:10" ht="27.75" customHeight="1">
      <c r="A12" s="14">
        <v>8</v>
      </c>
      <c r="B12" s="16" t="s">
        <v>42</v>
      </c>
      <c r="C12" s="19" t="s">
        <v>47</v>
      </c>
      <c r="D12" s="16" t="s">
        <v>48</v>
      </c>
      <c r="E12" s="14">
        <v>1</v>
      </c>
      <c r="F12" s="14">
        <v>35</v>
      </c>
      <c r="G12" s="14" cm="1">
        <f t="array" ref="G12">E12*F12</f>
        <v>35</v>
      </c>
      <c r="H12" s="18" t="s">
        <v>21</v>
      </c>
      <c r="I12" s="19" t="s">
        <v>33</v>
      </c>
      <c r="J12" s="20"/>
    </row>
    <row r="13" spans="1:10" ht="27.75" customHeight="1">
      <c r="A13" s="14">
        <v>9</v>
      </c>
      <c r="B13" s="16" t="s">
        <v>42</v>
      </c>
      <c r="C13" s="16" t="s">
        <v>49</v>
      </c>
      <c r="D13" s="16" t="s">
        <v>50</v>
      </c>
      <c r="E13" s="14">
        <v>1</v>
      </c>
      <c r="F13" s="14">
        <v>50</v>
      </c>
      <c r="G13" s="14" cm="1">
        <f t="array" ref="G13">E13*F13</f>
        <v>50</v>
      </c>
      <c r="H13" s="18" t="s">
        <v>21</v>
      </c>
      <c r="I13" s="19" t="s">
        <v>33</v>
      </c>
      <c r="J13" s="20"/>
    </row>
    <row r="14" spans="1:10" ht="27.75" customHeight="1">
      <c r="A14" s="14">
        <v>10</v>
      </c>
      <c r="B14" s="16" t="s">
        <v>42</v>
      </c>
      <c r="C14" s="16" t="s">
        <v>51</v>
      </c>
      <c r="D14" s="16" t="s">
        <v>52</v>
      </c>
      <c r="E14" s="14">
        <v>1</v>
      </c>
      <c r="F14" s="14">
        <v>25</v>
      </c>
      <c r="G14" s="14" cm="1">
        <f t="array" ref="G14">E14*F14</f>
        <v>25</v>
      </c>
      <c r="H14" s="18" t="s">
        <v>21</v>
      </c>
      <c r="I14" s="19" t="s">
        <v>33</v>
      </c>
      <c r="J14" s="19" t="s">
        <v>53</v>
      </c>
    </row>
    <row r="15" spans="1:10" ht="27.75" customHeight="1">
      <c r="A15" s="14">
        <v>11</v>
      </c>
      <c r="B15" s="16" t="s">
        <v>42</v>
      </c>
      <c r="C15" s="19" t="s">
        <v>54</v>
      </c>
      <c r="D15" s="19" t="s">
        <v>55</v>
      </c>
      <c r="E15" s="14">
        <v>1</v>
      </c>
      <c r="F15" s="14">
        <v>5</v>
      </c>
      <c r="G15" s="14" cm="1">
        <f t="array" ref="G15">E15*F15</f>
        <v>5</v>
      </c>
      <c r="H15" s="18" t="s">
        <v>21</v>
      </c>
      <c r="I15" s="19" t="s">
        <v>33</v>
      </c>
      <c r="J15" s="19" t="s">
        <v>56</v>
      </c>
    </row>
    <row r="16" spans="1:10" ht="27.75" customHeight="1">
      <c r="A16" s="14">
        <v>12</v>
      </c>
      <c r="B16" s="16" t="s">
        <v>42</v>
      </c>
      <c r="C16" s="19" t="s">
        <v>57</v>
      </c>
      <c r="D16" s="19" t="s">
        <v>58</v>
      </c>
      <c r="E16" s="14">
        <v>3</v>
      </c>
      <c r="F16" s="14">
        <v>1</v>
      </c>
      <c r="G16" s="14" cm="1">
        <f t="array" ref="G16">E16*F16</f>
        <v>3</v>
      </c>
      <c r="H16" s="18" t="s">
        <v>21</v>
      </c>
      <c r="I16" s="16" t="s">
        <v>45</v>
      </c>
      <c r="J16" s="19" t="s">
        <v>59</v>
      </c>
    </row>
    <row r="17" spans="1:10" ht="27.75" customHeight="1">
      <c r="A17" s="14">
        <v>13</v>
      </c>
      <c r="B17" s="16" t="s">
        <v>60</v>
      </c>
      <c r="C17" s="16" t="s">
        <v>61</v>
      </c>
      <c r="D17" s="19" t="s">
        <v>62</v>
      </c>
      <c r="E17" s="14">
        <v>1</v>
      </c>
      <c r="F17" s="14">
        <v>180</v>
      </c>
      <c r="G17" s="14" cm="1">
        <f t="array" ref="G17">E17*F17</f>
        <v>180</v>
      </c>
      <c r="H17" s="18" t="s">
        <v>21</v>
      </c>
      <c r="I17" s="16" t="s">
        <v>63</v>
      </c>
      <c r="J17" s="16" t="s">
        <v>64</v>
      </c>
    </row>
    <row r="18" spans="1:10" ht="16" customHeight="1">
      <c r="A18" s="14">
        <v>14</v>
      </c>
      <c r="B18" s="16" t="s">
        <v>60</v>
      </c>
      <c r="C18" s="19" t="s">
        <v>65</v>
      </c>
      <c r="D18" s="19" t="s">
        <v>66</v>
      </c>
      <c r="E18" s="14">
        <v>1</v>
      </c>
      <c r="F18" s="14">
        <v>50</v>
      </c>
      <c r="G18" s="14" cm="1">
        <f t="array" ref="G18">E18*F18</f>
        <v>50</v>
      </c>
      <c r="H18" s="18" t="s">
        <v>21</v>
      </c>
      <c r="I18" s="16" t="s">
        <v>67</v>
      </c>
      <c r="J18" s="20"/>
    </row>
    <row r="19" spans="1:10" ht="19" customHeight="1">
      <c r="A19" s="14">
        <v>15</v>
      </c>
      <c r="B19" s="16" t="s">
        <v>60</v>
      </c>
      <c r="C19" s="17" t="s">
        <v>68</v>
      </c>
      <c r="D19" s="17" t="s">
        <v>69</v>
      </c>
      <c r="E19" s="14">
        <v>1</v>
      </c>
      <c r="F19" s="14">
        <v>50</v>
      </c>
      <c r="G19" s="14">
        <v>50</v>
      </c>
      <c r="H19" s="18" t="s">
        <v>70</v>
      </c>
      <c r="I19" s="16" t="s">
        <v>71</v>
      </c>
      <c r="J19" s="20"/>
    </row>
    <row r="20" spans="1:10" ht="19" customHeight="1">
      <c r="A20" s="14">
        <v>15</v>
      </c>
      <c r="B20" s="16" t="s">
        <v>60</v>
      </c>
      <c r="C20" s="17" t="s">
        <v>72</v>
      </c>
      <c r="D20" s="17" t="s">
        <v>73</v>
      </c>
      <c r="E20" s="14">
        <v>1</v>
      </c>
      <c r="F20" s="14">
        <v>20</v>
      </c>
      <c r="G20" s="14">
        <v>20</v>
      </c>
      <c r="H20" s="18" t="s">
        <v>70</v>
      </c>
      <c r="I20" s="16" t="s">
        <v>71</v>
      </c>
      <c r="J20" s="20"/>
    </row>
    <row r="21" spans="1:10" ht="35.75" customHeight="1">
      <c r="A21" s="21"/>
      <c r="B21" s="22"/>
      <c r="C21" s="22"/>
      <c r="D21" s="22"/>
      <c r="E21" s="22"/>
      <c r="F21" s="22"/>
      <c r="G21" s="22"/>
      <c r="H21" s="22"/>
      <c r="I21" s="22"/>
      <c r="J21" s="23"/>
    </row>
    <row r="22" spans="1:10" ht="19.5" customHeight="1">
      <c r="A22" s="24" t="s">
        <v>74</v>
      </c>
      <c r="B22" s="25"/>
      <c r="C22" s="25"/>
      <c r="D22" s="25"/>
      <c r="E22" s="25"/>
      <c r="F22" s="26">
        <v>70</v>
      </c>
      <c r="G22" s="27"/>
      <c r="H22" s="38" t="s">
        <v>75</v>
      </c>
      <c r="I22" s="28"/>
      <c r="J22" s="28"/>
    </row>
    <row r="23" spans="1:10" ht="19.5" customHeight="1">
      <c r="A23" s="24" t="s">
        <v>76</v>
      </c>
      <c r="B23" s="25"/>
      <c r="C23" s="25"/>
      <c r="D23" s="25"/>
      <c r="E23" s="25"/>
      <c r="F23" s="26">
        <v>1500</v>
      </c>
      <c r="G23" s="27"/>
      <c r="H23" s="28"/>
      <c r="I23" s="28"/>
      <c r="J23" s="28"/>
    </row>
    <row r="24" spans="1:10" ht="19.5" customHeight="1">
      <c r="A24" s="24" t="s">
        <v>77</v>
      </c>
      <c r="B24" s="25"/>
      <c r="C24" s="25"/>
      <c r="D24" s="25"/>
      <c r="E24" s="25"/>
      <c r="F24" s="26" cm="1">
        <f t="array" ref="F24">MAX(0,F22-F23)</f>
        <v>0</v>
      </c>
      <c r="G24" s="27"/>
      <c r="H24" s="29" t="s">
        <v>78</v>
      </c>
      <c r="I24" s="30"/>
      <c r="J24" s="30"/>
    </row>
    <row r="25" spans="1:10" ht="19.5" customHeight="1">
      <c r="A25" s="25"/>
      <c r="B25" s="39"/>
      <c r="C25" s="39"/>
      <c r="D25" s="39"/>
      <c r="E25" s="39"/>
      <c r="F25" s="27"/>
      <c r="G25" s="39"/>
      <c r="H25" s="40"/>
      <c r="I25" s="39"/>
      <c r="J25" s="39"/>
    </row>
  </sheetData>
  <mergeCells count="14">
    <mergeCell ref="A25:E25"/>
    <mergeCell ref="F25:G25"/>
    <mergeCell ref="H25:J25"/>
    <mergeCell ref="A1:J1"/>
    <mergeCell ref="A2:J2"/>
    <mergeCell ref="A22:E22"/>
    <mergeCell ref="F22:G22"/>
    <mergeCell ref="H22:J22"/>
    <mergeCell ref="A23:E23"/>
    <mergeCell ref="F23:G23"/>
    <mergeCell ref="H23:J23"/>
    <mergeCell ref="A24:E24"/>
    <mergeCell ref="F24:G24"/>
    <mergeCell ref="H24:J24"/>
  </mergeCells>
  <phoneticPr fontId="21" type="noConversion"/>
  <hyperlinks>
    <hyperlink ref="I5" r:id="rId1" xr:uid="{00000000-0004-0000-0000-000000000000}"/>
    <hyperlink ref="I6" r:id="rId2" xr:uid="{00000000-0004-0000-0000-000001000000}"/>
    <hyperlink ref="I7" r:id="rId3" xr:uid="{00000000-0004-0000-0000-000002000000}"/>
    <hyperlink ref="I10" r:id="rId4" xr:uid="{00000000-0004-0000-0000-000003000000}"/>
  </hyperlinks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Fa-Di Wang</cp:lastModifiedBy>
  <dcterms:modified xsi:type="dcterms:W3CDTF">2026-06-12T07:32:03Z</dcterms:modified>
</cp:coreProperties>
</file>